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E15D30F-0472-4823-8B04-247E326497F2}" xr6:coauthVersionLast="47" xr6:coauthVersionMax="47" xr10:uidLastSave="{00000000-0000-0000-0000-000000000000}"/>
  <bookViews>
    <workbookView xWindow="-120" yWindow="-120" windowWidth="20730" windowHeight="11160" firstSheet="2" activeTab="6" xr2:uid="{CC2479A7-0967-4D1D-BCEC-C8B875CF3871}"/>
  </bookViews>
  <sheets>
    <sheet name="KPI summary" sheetId="1" r:id="rId1"/>
    <sheet name="Customer Analysis" sheetId="2" r:id="rId2"/>
    <sheet name="Payment Analysis" sheetId="3" r:id="rId3"/>
    <sheet name="Delivery Analysis" sheetId="4" r:id="rId4"/>
    <sheet name="Seller Analysis" sheetId="5" r:id="rId5"/>
    <sheet name="Category Analysis" sheetId="6" r:id="rId6"/>
    <sheet name="Dashboard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7" l="1"/>
  <c r="Q16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<sst xmlns="http://schemas.openxmlformats.org/spreadsheetml/2006/main" count="101" uniqueCount="84">
  <si>
    <t>KPI</t>
  </si>
  <si>
    <t>Value</t>
  </si>
  <si>
    <t>Total Orders</t>
  </si>
  <si>
    <t>Total Customers</t>
  </si>
  <si>
    <t>Total Revenue</t>
  </si>
  <si>
    <t>Average Order Value</t>
  </si>
  <si>
    <t>Repeat Customers</t>
  </si>
  <si>
    <t>One-time Customers</t>
  </si>
  <si>
    <t>Repeat Customer Rate</t>
  </si>
  <si>
    <t>Delivered Orders</t>
  </si>
  <si>
    <t>Late Orders</t>
  </si>
  <si>
    <t>Late Delivery Rate</t>
  </si>
  <si>
    <t>Top Payment Method</t>
  </si>
  <si>
    <t>Credit Card</t>
  </si>
  <si>
    <t>Customer Type</t>
  </si>
  <si>
    <t>% of Customers</t>
  </si>
  <si>
    <t>Avg Spending</t>
  </si>
  <si>
    <t>One-time</t>
  </si>
  <si>
    <t>Repeat</t>
  </si>
  <si>
    <t xml:space="preserve">Customer Count </t>
  </si>
  <si>
    <t>High Value</t>
  </si>
  <si>
    <t>Other Repeat</t>
  </si>
  <si>
    <t>Value Segment</t>
  </si>
  <si>
    <t>Number of Orders</t>
  </si>
  <si>
    <t>Customers</t>
  </si>
  <si>
    <t>Payment Method</t>
  </si>
  <si>
    <t>Total Payment Value</t>
  </si>
  <si>
    <t>Boleto</t>
  </si>
  <si>
    <t>Voucher</t>
  </si>
  <si>
    <t>Debit Card</t>
  </si>
  <si>
    <t>Not Defined</t>
  </si>
  <si>
    <t>Number of Payment Methods</t>
  </si>
  <si>
    <t>Delivery Status</t>
  </si>
  <si>
    <t>Orders</t>
  </si>
  <si>
    <t>Early</t>
  </si>
  <si>
    <t>On-time</t>
  </si>
  <si>
    <t>Late</t>
  </si>
  <si>
    <t>Not Delivered</t>
  </si>
  <si>
    <t>Rank</t>
  </si>
  <si>
    <t>Seller ID</t>
  </si>
  <si>
    <t>Revenue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</si>
  <si>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</si>
  <si>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</si>
  <si>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</si>
  <si>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</si>
  <si>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</si>
  <si>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</si>
  <si>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</si>
  <si>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</si>
  <si>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</si>
  <si>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</si>
  <si>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State</t>
  </si>
  <si>
    <t>Seller Count</t>
  </si>
  <si>
    <t>SP</t>
  </si>
  <si>
    <t>PR</t>
  </si>
  <si>
    <t>MG</t>
  </si>
  <si>
    <t>SC</t>
  </si>
  <si>
    <t>RJ</t>
  </si>
  <si>
    <t>RS</t>
  </si>
  <si>
    <t>GO</t>
  </si>
  <si>
    <t>DF</t>
  </si>
  <si>
    <t>ES</t>
  </si>
  <si>
    <t>BA</t>
  </si>
  <si>
    <t>Category</t>
  </si>
  <si>
    <t>Repeat Orders</t>
  </si>
  <si>
    <t>cama_mesa_banho</t>
  </si>
  <si>
    <t>esporte_lazer</t>
  </si>
  <si>
    <t>moveis_decoracao</t>
  </si>
  <si>
    <t>beleza_saude</t>
  </si>
  <si>
    <t>informatica_acessorios</t>
  </si>
  <si>
    <t>utilidades_domesticas</t>
  </si>
  <si>
    <t>relogios_presentes</t>
  </si>
  <si>
    <t>fashion_bolsas_e_acessorios</t>
  </si>
  <si>
    <t>brinquedos</t>
  </si>
  <si>
    <t>ferramentas_jardim</t>
  </si>
  <si>
    <t>Repeat Rate</t>
  </si>
  <si>
    <t>eletrodomesticos</t>
  </si>
  <si>
    <t>fashion_roupa_masculina</t>
  </si>
  <si>
    <t>bebidas</t>
  </si>
  <si>
    <t>moveis_sala</t>
  </si>
  <si>
    <t>fashion_calcados</t>
  </si>
  <si>
    <t>climatizacao</t>
  </si>
  <si>
    <t>casa_conforto</t>
  </si>
  <si>
    <t>OLIST  E-COMMERCE BUSINESS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</si>
</sst>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8" fontId="0" fillId="0" borderId="0" xfId="0" applyNumberFormat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Value by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Analysis'!$B$2</c:f>
              <c:strCache>
                <c:ptCount val="1"/>
                <c:pt idx="0">
                  <c:v>Total Payment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Analysis'!$A$3:$A$7</c:f>
              <c:strCache>
                <c:ptCount val="5"/>
                <c:pt idx="0">
                  <c:v>Credit Card</c:v>
                </c:pt>
                <c:pt idx="1">
                  <c:v>Boleto</c:v>
                </c:pt>
                <c:pt idx="2">
                  <c:v>Voucher</c:v>
                </c:pt>
                <c:pt idx="3">
                  <c:v>Debit Card</c:v>
                </c:pt>
                <c:pt idx="4">
                  <c:v>Not Defined</c:v>
                </c:pt>
              </c:strCache>
            </c:strRef>
          </c:cat>
          <c:val>
            <c:numRef>
              <c:f>'Payment Analysis'!$B$3:$B$7</c:f>
              <c:numCache>
                <c:formatCode>"₹"#,##0.00_);[Red]\("₹"#,##0.00\)</c:formatCode>
                <c:ptCount val="5"/>
                <c:pt idx="0">
                  <c:v>12542084.189999999</c:v>
                </c:pt>
                <c:pt idx="1">
                  <c:v>2869361.27</c:v>
                </c:pt>
                <c:pt idx="2">
                  <c:v>379436.87</c:v>
                </c:pt>
                <c:pt idx="3">
                  <c:v>217989.79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3-4EFF-A4F2-713D41CDF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766351"/>
        <c:axId val="929764911"/>
      </c:barChart>
      <c:catAx>
        <c:axId val="92976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64911"/>
        <c:crosses val="autoZero"/>
        <c:auto val="1"/>
        <c:lblAlgn val="ctr"/>
        <c:lblOffset val="100"/>
        <c:noMultiLvlLbl val="0"/>
      </c:catAx>
      <c:valAx>
        <c:axId val="9297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6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</a:t>
            </a:r>
            <a:r>
              <a:rPr lang="en-IN"/>
              <a:t>type Distribution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Analysis'!$B$1</c:f>
              <c:strCache>
                <c:ptCount val="1"/>
                <c:pt idx="0">
                  <c:v>Customer Count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7E-4ECE-9335-24AC57C90B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7E-4ECE-9335-24AC57C90B2B}"/>
              </c:ext>
            </c:extLst>
          </c:dPt>
          <c:cat>
            <c:strRef>
              <c:f>'Customer Analysis'!$A$2:$A$3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'Customer Analysis'!$B$2:$B$3</c:f>
              <c:numCache>
                <c:formatCode>General</c:formatCode>
                <c:ptCount val="2"/>
                <c:pt idx="0">
                  <c:v>93099</c:v>
                </c:pt>
                <c:pt idx="1">
                  <c:v>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7E-4ECE-9335-24AC57C90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Delivery</a:t>
            </a:r>
            <a:r>
              <a:rPr lang="en-IN" baseline="0"/>
              <a:t>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Analysis'!$B$1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Analysis'!$A$2:$A$6</c:f>
              <c:strCache>
                <c:ptCount val="5"/>
                <c:pt idx="1">
                  <c:v>Early</c:v>
                </c:pt>
                <c:pt idx="2">
                  <c:v>On-time</c:v>
                </c:pt>
                <c:pt idx="3">
                  <c:v>Late</c:v>
                </c:pt>
                <c:pt idx="4">
                  <c:v>Not Delivered</c:v>
                </c:pt>
              </c:strCache>
            </c:strRef>
          </c:cat>
          <c:val>
            <c:numRef>
              <c:f>'Delivery Analysis'!$B$2:$B$6</c:f>
              <c:numCache>
                <c:formatCode>#,##0</c:formatCode>
                <c:ptCount val="5"/>
                <c:pt idx="1">
                  <c:v>88649</c:v>
                </c:pt>
                <c:pt idx="2">
                  <c:v>1292</c:v>
                </c:pt>
                <c:pt idx="3">
                  <c:v>6535</c:v>
                </c:pt>
                <c:pt idx="4">
                  <c:v>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9-4502-8E3F-8B0DF14BE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993903"/>
        <c:axId val="993002543"/>
      </c:barChart>
      <c:catAx>
        <c:axId val="99299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02543"/>
        <c:crosses val="autoZero"/>
        <c:auto val="1"/>
        <c:lblAlgn val="ctr"/>
        <c:lblOffset val="100"/>
        <c:noMultiLvlLbl val="0"/>
      </c:catAx>
      <c:valAx>
        <c:axId val="9930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9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Sellers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'Seller Analysis'!$C$1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'Seller Analysis'!$B$2:$B$11</c:f>
              <c:strCache>
                <c:ptCount val="10"/>
                <c:pt idx="0">
                  <c:v>4869f7a5dfa277a7dca6462dcf3b52b2</c:v>
                </c:pt>
                <c:pt idx="1">
                  <c:v>53243585a1d6dc2643021fd1853d8905</c:v>
                </c:pt>
                <c:pt idx="2">
                  <c:v>4a3ca9315b744ce9f8e9374361493884</c:v>
                </c:pt>
                <c:pt idx="3">
                  <c:v>fa1c13f2614d7b5c4749cbc52fecda94</c:v>
                </c:pt>
                <c:pt idx="4">
                  <c:v>7c67e1448b00f6e969d365cea6b010ab</c:v>
                </c:pt>
                <c:pt idx="5">
                  <c:v>7e93a43ef30c4f03f38b393420bc753a</c:v>
                </c:pt>
                <c:pt idx="6">
                  <c:v>da8622b14eb17ae2831f4ac5b9dab84a</c:v>
                </c:pt>
                <c:pt idx="7">
                  <c:v>7a67c85e85bb2ce8582c35f2203ad736</c:v>
                </c:pt>
                <c:pt idx="8">
                  <c:v>1025f0e2d44d7041d6cf58b6550e0bfa</c:v>
                </c:pt>
                <c:pt idx="9">
                  <c:v>955fee9216a65b617aa5c0531780ce60</c:v>
                </c:pt>
              </c:strCache>
            </c:strRef>
          </c:cat>
          <c:val>
            <c:numRef>
              <c:f>'Seller Analysis'!$C$2:$C$11</c:f>
              <c:numCache>
                <c:formatCode>#,##0.00</c:formatCode>
                <c:ptCount val="10"/>
                <c:pt idx="0">
                  <c:v>229472.63</c:v>
                </c:pt>
                <c:pt idx="1">
                  <c:v>222776.05</c:v>
                </c:pt>
                <c:pt idx="2">
                  <c:v>200472.92</c:v>
                </c:pt>
                <c:pt idx="3">
                  <c:v>194042.03</c:v>
                </c:pt>
                <c:pt idx="4">
                  <c:v>187923.89</c:v>
                </c:pt>
                <c:pt idx="5">
                  <c:v>176431.87</c:v>
                </c:pt>
                <c:pt idx="6">
                  <c:v>160236.57</c:v>
                </c:pt>
                <c:pt idx="7">
                  <c:v>141745.53</c:v>
                </c:pt>
                <c:pt idx="8">
                  <c:v>138968.54999999999</c:v>
                </c:pt>
                <c:pt idx="9">
                  <c:v>135171.70000000001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2-43AF-92AD-CF31A4F79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8177023"/>
        <c:axId val="1008177983"/>
      </c:barChart>
      <c:catAx>
        <c:axId val="100817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77983"/>
        <c:crosses val="autoZero"/>
        <c:auto val="1"/>
        <c:lblAlgn val="ctr"/>
        <c:lblOffset val="100"/>
        <c:noMultiLvlLbl val="0"/>
      </c:catAx>
      <c:valAx>
        <c:axId val="100817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7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Categories by Repeat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Repeat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Analysis'!$B$2:$B$11</c:f>
              <c:strCache>
                <c:ptCount val="10"/>
                <c:pt idx="0">
                  <c:v>cama_mesa_banho</c:v>
                </c:pt>
                <c:pt idx="1">
                  <c:v>esporte_lazer</c:v>
                </c:pt>
                <c:pt idx="2">
                  <c:v>moveis_decoracao</c:v>
                </c:pt>
                <c:pt idx="3">
                  <c:v>beleza_saude</c:v>
                </c:pt>
                <c:pt idx="4">
                  <c:v>informatica_acessorios</c:v>
                </c:pt>
                <c:pt idx="5">
                  <c:v>utilidades_domesticas</c:v>
                </c:pt>
                <c:pt idx="6">
                  <c:v>relogios_presentes</c:v>
                </c:pt>
                <c:pt idx="7">
                  <c:v>fashion_bolsas_e_acessorios</c:v>
                </c:pt>
                <c:pt idx="8">
                  <c:v>brinquedos</c:v>
                </c:pt>
                <c:pt idx="9">
                  <c:v>ferramentas_jardim</c:v>
                </c:pt>
              </c:strCache>
            </c:strRef>
          </c:cat>
          <c:val>
            <c:numRef>
              <c:f>'Category Analysis'!$C$2:$C$11</c:f>
              <c:numCache>
                <c:formatCode>General</c:formatCode>
                <c:ptCount val="10"/>
                <c:pt idx="0">
                  <c:v>874</c:v>
                </c:pt>
                <c:pt idx="1">
                  <c:v>614</c:v>
                </c:pt>
                <c:pt idx="2">
                  <c:v>597</c:v>
                </c:pt>
                <c:pt idx="3">
                  <c:v>519</c:v>
                </c:pt>
                <c:pt idx="4">
                  <c:v>417</c:v>
                </c:pt>
                <c:pt idx="5">
                  <c:v>360</c:v>
                </c:pt>
                <c:pt idx="6">
                  <c:v>285</c:v>
                </c:pt>
                <c:pt idx="7">
                  <c:v>230</c:v>
                </c:pt>
                <c:pt idx="8">
                  <c:v>201</c:v>
                </c:pt>
                <c:pt idx="9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7-40F7-A5ED-299035983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8177983"/>
        <c:axId val="1008179423"/>
      </c:barChart>
      <c:catAx>
        <c:axId val="1008177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79423"/>
        <c:crosses val="autoZero"/>
        <c:auto val="1"/>
        <c:lblAlgn val="ctr"/>
        <c:lblOffset val="100"/>
        <c:noMultiLvlLbl val="0"/>
      </c:catAx>
      <c:valAx>
        <c:axId val="100817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7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4</xdr:row>
      <xdr:rowOff>28574</xdr:rowOff>
    </xdr:from>
    <xdr:to>
      <xdr:col>6</xdr:col>
      <xdr:colOff>28574</xdr:colOff>
      <xdr:row>16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1A8B9-3D65-458D-8DCB-1CCC5933C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4</xdr:row>
      <xdr:rowOff>28575</xdr:rowOff>
    </xdr:from>
    <xdr:to>
      <xdr:col>12</xdr:col>
      <xdr:colOff>304800</xdr:colOff>
      <xdr:row>16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A2DAC1A-3653-F0FB-C2E2-55CE857E4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9526</xdr:colOff>
      <xdr:row>4</xdr:row>
      <xdr:rowOff>28574</xdr:rowOff>
    </xdr:from>
    <xdr:to>
      <xdr:col>19</xdr:col>
      <xdr:colOff>314326</xdr:colOff>
      <xdr:row>16</xdr:row>
      <xdr:rowOff>190499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70A8E0D-EE89-7EBC-0503-5FF5CE643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180974</xdr:colOff>
      <xdr:row>18</xdr:row>
      <xdr:rowOff>9524</xdr:rowOff>
    </xdr:from>
    <xdr:to>
      <xdr:col>7</xdr:col>
      <xdr:colOff>95249</xdr:colOff>
      <xdr:row>30</xdr:row>
      <xdr:rowOff>47625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7C0233EC-57A3-15B0-B87B-7CDE5C193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304800</xdr:colOff>
      <xdr:row>18</xdr:row>
      <xdr:rowOff>19050</xdr:rowOff>
    </xdr:from>
    <xdr:to>
      <xdr:col>15</xdr:col>
      <xdr:colOff>361950</xdr:colOff>
      <xdr:row>30</xdr:row>
      <xdr:rowOff>66675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A241374-812B-F747-4EA8-B741FCE41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66676</xdr:colOff>
      <xdr:row>1</xdr:row>
      <xdr:rowOff>171450</xdr:rowOff>
    </xdr:from>
    <xdr:ext cx="1523999" cy="25673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1DC161-3C32-2ADA-F150-7805E7DC81D3}"/>
            </a:ext>
          </a:extLst>
        </xdr:cNvPr>
        <xdr:cNvSpPr txBox="1"/>
      </xdr:nvSpPr>
      <xdr:spPr>
        <a:xfrm>
          <a:off x="66676" y="361950"/>
          <a:ext cx="1523999" cy="256737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50"/>
            <a:t>TOTAL</a:t>
          </a:r>
          <a:r>
            <a:rPr lang="en-IN" sz="1050" baseline="0"/>
            <a:t> ORDERS-99,441</a:t>
          </a:r>
          <a:endParaRPr lang="en-IN" sz="105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00225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245F8E-6D81-491E-B995-69CE3025A3B8}"/>
            </a:ext>
          </a:extLst>
        </xdr:cNvPr>
        <xdr:cNvSpPr txBox="1"/>
      </xdr:nvSpPr>
      <xdr:spPr>
        <a:xfrm>
          <a:off x="1828800" y="381000"/>
          <a:ext cx="1800225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50"/>
            <a:t>TOTAL</a:t>
          </a:r>
          <a:r>
            <a:rPr lang="en-IN" sz="1050" baseline="0"/>
            <a:t> CUSTOMERS-96,096</a:t>
          </a:r>
          <a:endParaRPr lang="en-IN" sz="1050"/>
        </a:p>
      </xdr:txBody>
    </xdr:sp>
    <xdr:clientData/>
  </xdr:oneCellAnchor>
  <xdr:oneCellAnchor>
    <xdr:from>
      <xdr:col>6</xdr:col>
      <xdr:colOff>161924</xdr:colOff>
      <xdr:row>2</xdr:row>
      <xdr:rowOff>0</xdr:rowOff>
    </xdr:from>
    <xdr:ext cx="1704975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80E6FF9-2294-49A6-A946-93A51BBC8D08}"/>
            </a:ext>
          </a:extLst>
        </xdr:cNvPr>
        <xdr:cNvSpPr txBox="1"/>
      </xdr:nvSpPr>
      <xdr:spPr>
        <a:xfrm>
          <a:off x="3819524" y="381000"/>
          <a:ext cx="1704975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50"/>
            <a:t>TOTAL</a:t>
          </a:r>
          <a:r>
            <a:rPr lang="en-IN" sz="1050" baseline="0"/>
            <a:t> REVENUE-</a:t>
          </a:r>
          <a:r>
            <a:rPr lang="en-IN" sz="105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1.36</a:t>
          </a:r>
          <a:r>
            <a:rPr lang="en-IN" sz="105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CR</a:t>
          </a:r>
          <a:r>
            <a:rPr lang="en-IN" sz="1050"/>
            <a:t> </a:t>
          </a:r>
        </a:p>
      </xdr:txBody>
    </xdr:sp>
    <xdr:clientData/>
  </xdr:oneCellAnchor>
  <xdr:oneCellAnchor>
    <xdr:from>
      <xdr:col>9</xdr:col>
      <xdr:colOff>304800</xdr:colOff>
      <xdr:row>2</xdr:row>
      <xdr:rowOff>0</xdr:rowOff>
    </xdr:from>
    <xdr:ext cx="202882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726D705-DD6A-44AC-BB51-2A782AEEA4DB}"/>
            </a:ext>
          </a:extLst>
        </xdr:cNvPr>
        <xdr:cNvSpPr txBox="1"/>
      </xdr:nvSpPr>
      <xdr:spPr>
        <a:xfrm>
          <a:off x="5791200" y="381000"/>
          <a:ext cx="2028825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50"/>
            <a:t>AVERAGE</a:t>
          </a:r>
          <a:r>
            <a:rPr lang="en-IN" sz="1050" baseline="0"/>
            <a:t> ORDER VALUE-136.68</a:t>
          </a:r>
          <a:r>
            <a:rPr lang="en-IN" sz="1050"/>
            <a:t> </a:t>
          </a:r>
        </a:p>
      </xdr:txBody>
    </xdr:sp>
    <xdr:clientData/>
  </xdr:oneCellAnchor>
  <xdr:oneCellAnchor>
    <xdr:from>
      <xdr:col>13</xdr:col>
      <xdr:colOff>0</xdr:colOff>
      <xdr:row>2</xdr:row>
      <xdr:rowOff>0</xdr:rowOff>
    </xdr:from>
    <xdr:ext cx="206692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90A9FEF-4BDC-498E-B09C-EEDE40021D58}"/>
            </a:ext>
          </a:extLst>
        </xdr:cNvPr>
        <xdr:cNvSpPr txBox="1"/>
      </xdr:nvSpPr>
      <xdr:spPr>
        <a:xfrm>
          <a:off x="7924800" y="381000"/>
          <a:ext cx="2066926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50"/>
            <a:t>REPEAT</a:t>
          </a:r>
          <a:r>
            <a:rPr lang="en-IN" sz="1050" baseline="0"/>
            <a:t> CUSTOMER RATE-3.12%</a:t>
          </a:r>
          <a:r>
            <a:rPr lang="en-IN" sz="1050"/>
            <a:t> </a:t>
          </a:r>
        </a:p>
      </xdr:txBody>
    </xdr:sp>
    <xdr:clientData/>
  </xdr:oneCellAnchor>
  <xdr:oneCellAnchor>
    <xdr:from>
      <xdr:col>16</xdr:col>
      <xdr:colOff>352425</xdr:colOff>
      <xdr:row>2</xdr:row>
      <xdr:rowOff>0</xdr:rowOff>
    </xdr:from>
    <xdr:ext cx="1800225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99DBB4-8BE8-42FB-8E06-073798F80208}"/>
            </a:ext>
          </a:extLst>
        </xdr:cNvPr>
        <xdr:cNvSpPr txBox="1"/>
      </xdr:nvSpPr>
      <xdr:spPr>
        <a:xfrm>
          <a:off x="10106025" y="381000"/>
          <a:ext cx="1800225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50"/>
            <a:t>LATE</a:t>
          </a:r>
          <a:r>
            <a:rPr lang="en-IN" sz="1050" baseline="0"/>
            <a:t> DELIVERY RATE-6.77%</a:t>
          </a:r>
          <a:r>
            <a:rPr lang="en-IN" sz="105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8DF8-E3E5-46E1-8761-DF40B7ABF04B}">
  <dimension ref="A1:B12"/>
  <sheetViews>
    <sheetView workbookViewId="0">
      <selection activeCell="B4" sqref="B4"/>
    </sheetView>
  </sheetViews>
  <sheetFormatPr defaultRowHeight="15" x14ac:dyDescent="0.25"/>
  <cols>
    <col min="1" max="1" width="26.28515625" customWidth="1"/>
    <col min="2" max="2" width="21.5703125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4" t="s">
        <v>2</v>
      </c>
      <c r="B2" s="5">
        <v>99441</v>
      </c>
    </row>
    <row r="3" spans="1:2" x14ac:dyDescent="0.25">
      <c r="A3" s="4" t="s">
        <v>3</v>
      </c>
      <c r="B3" s="5">
        <v>96096</v>
      </c>
    </row>
    <row r="4" spans="1:2" x14ac:dyDescent="0.25">
      <c r="A4" s="4" t="s">
        <v>4</v>
      </c>
      <c r="B4" s="6">
        <v>13591643.699999999</v>
      </c>
    </row>
    <row r="5" spans="1:2" x14ac:dyDescent="0.25">
      <c r="A5" s="4" t="s">
        <v>5</v>
      </c>
      <c r="B5" s="4">
        <v>136.68</v>
      </c>
    </row>
    <row r="6" spans="1:2" x14ac:dyDescent="0.25">
      <c r="A6" s="4" t="s">
        <v>6</v>
      </c>
      <c r="B6" s="5">
        <v>2997</v>
      </c>
    </row>
    <row r="7" spans="1:2" x14ac:dyDescent="0.25">
      <c r="A7" s="4" t="s">
        <v>7</v>
      </c>
      <c r="B7" s="5">
        <v>93099</v>
      </c>
    </row>
    <row r="8" spans="1:2" x14ac:dyDescent="0.25">
      <c r="A8" s="4" t="s">
        <v>8</v>
      </c>
      <c r="B8" s="7">
        <v>3.1199999999999999E-2</v>
      </c>
    </row>
    <row r="9" spans="1:2" x14ac:dyDescent="0.25">
      <c r="A9" s="4" t="s">
        <v>9</v>
      </c>
      <c r="B9" s="5">
        <v>96476</v>
      </c>
    </row>
    <row r="10" spans="1:2" x14ac:dyDescent="0.25">
      <c r="A10" s="4" t="s">
        <v>10</v>
      </c>
      <c r="B10" s="5">
        <v>6535</v>
      </c>
    </row>
    <row r="11" spans="1:2" x14ac:dyDescent="0.25">
      <c r="A11" s="4" t="s">
        <v>11</v>
      </c>
      <c r="B11" s="7">
        <v>6.7699999999999996E-2</v>
      </c>
    </row>
    <row r="12" spans="1:2" x14ac:dyDescent="0.25">
      <c r="A12" s="4" t="s">
        <v>12</v>
      </c>
      <c r="B12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2658-2014-4BC4-B9F7-E90BC4FEC7D9}">
  <dimension ref="A1:I11"/>
  <sheetViews>
    <sheetView workbookViewId="0">
      <selection sqref="A1:A1048576"/>
    </sheetView>
  </sheetViews>
  <sheetFormatPr defaultRowHeight="15" x14ac:dyDescent="0.25"/>
  <cols>
    <col min="1" max="1" width="14.85546875" bestFit="1" customWidth="1"/>
    <col min="2" max="2" width="15.5703125" bestFit="1" customWidth="1"/>
    <col min="3" max="3" width="16.85546875" customWidth="1"/>
    <col min="4" max="4" width="18.28515625" customWidth="1"/>
    <col min="7" max="7" width="16.85546875" bestFit="1" customWidth="1"/>
    <col min="8" max="8" width="10.42578125" bestFit="1" customWidth="1"/>
    <col min="9" max="9" width="12.5703125" bestFit="1" customWidth="1"/>
  </cols>
  <sheetData>
    <row r="1" spans="1:9" s="18" customFormat="1" x14ac:dyDescent="0.25">
      <c r="A1" s="8" t="s">
        <v>14</v>
      </c>
      <c r="B1" s="8" t="s">
        <v>19</v>
      </c>
      <c r="C1" s="8" t="s">
        <v>15</v>
      </c>
      <c r="D1" s="8" t="s">
        <v>16</v>
      </c>
      <c r="G1" s="18" t="s">
        <v>23</v>
      </c>
      <c r="H1" s="18" t="s">
        <v>24</v>
      </c>
      <c r="I1" s="18" t="s">
        <v>16</v>
      </c>
    </row>
    <row r="2" spans="1:9" x14ac:dyDescent="0.25">
      <c r="A2" s="4" t="s">
        <v>17</v>
      </c>
      <c r="B2" s="4">
        <v>93099</v>
      </c>
      <c r="C2" s="7">
        <v>0.96879999999999999</v>
      </c>
      <c r="D2" s="4">
        <v>161.82</v>
      </c>
      <c r="G2">
        <v>2</v>
      </c>
      <c r="H2" s="1">
        <v>2745</v>
      </c>
      <c r="I2" s="13">
        <v>294.85000000000002</v>
      </c>
    </row>
    <row r="3" spans="1:9" x14ac:dyDescent="0.25">
      <c r="A3" s="4" t="s">
        <v>18</v>
      </c>
      <c r="B3" s="4">
        <v>2997</v>
      </c>
      <c r="C3" s="7">
        <v>3.1199999999999999E-2</v>
      </c>
      <c r="D3" s="4">
        <v>314.99</v>
      </c>
      <c r="G3">
        <v>3</v>
      </c>
      <c r="H3">
        <v>203</v>
      </c>
      <c r="I3" s="13">
        <v>473.39</v>
      </c>
    </row>
    <row r="4" spans="1:9" x14ac:dyDescent="0.25">
      <c r="G4">
        <v>4</v>
      </c>
      <c r="H4">
        <v>30</v>
      </c>
      <c r="I4" s="13">
        <v>779.13</v>
      </c>
    </row>
    <row r="5" spans="1:9" x14ac:dyDescent="0.25">
      <c r="G5">
        <v>5</v>
      </c>
      <c r="H5">
        <v>8</v>
      </c>
      <c r="I5" s="13">
        <v>759.66</v>
      </c>
    </row>
    <row r="6" spans="1:9" x14ac:dyDescent="0.25">
      <c r="A6" s="19" t="s">
        <v>22</v>
      </c>
      <c r="B6" s="20" t="s">
        <v>19</v>
      </c>
      <c r="C6" s="20" t="s">
        <v>16</v>
      </c>
      <c r="D6" s="20" t="s">
        <v>4</v>
      </c>
      <c r="G6">
        <v>6</v>
      </c>
      <c r="H6">
        <v>6</v>
      </c>
      <c r="I6" s="13">
        <v>696.25</v>
      </c>
    </row>
    <row r="7" spans="1:9" x14ac:dyDescent="0.25">
      <c r="A7" s="9" t="s">
        <v>20</v>
      </c>
      <c r="B7" s="10">
        <v>747</v>
      </c>
      <c r="C7" s="10">
        <v>589.66</v>
      </c>
      <c r="D7" s="11">
        <v>440479.34</v>
      </c>
      <c r="G7">
        <v>7</v>
      </c>
      <c r="H7">
        <v>3</v>
      </c>
      <c r="I7" s="13">
        <v>946.85</v>
      </c>
    </row>
    <row r="8" spans="1:9" x14ac:dyDescent="0.25">
      <c r="A8" s="10" t="s">
        <v>21</v>
      </c>
      <c r="B8" s="12">
        <v>2242</v>
      </c>
      <c r="C8" s="10">
        <v>150.91</v>
      </c>
      <c r="D8" s="11">
        <v>338342.63</v>
      </c>
      <c r="G8">
        <v>9</v>
      </c>
      <c r="H8">
        <v>1</v>
      </c>
      <c r="I8" s="13">
        <v>1172.6600000000001</v>
      </c>
    </row>
    <row r="9" spans="1:9" x14ac:dyDescent="0.25">
      <c r="G9">
        <v>17</v>
      </c>
      <c r="H9">
        <v>1</v>
      </c>
      <c r="I9" s="13">
        <v>927.63</v>
      </c>
    </row>
    <row r="10" spans="1:9" x14ac:dyDescent="0.25">
      <c r="A10" s="1"/>
    </row>
    <row r="11" spans="1:9" x14ac:dyDescent="0.25">
      <c r="A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67D-C530-4071-A8D2-3E5541FB38C3}">
  <dimension ref="A2:C16"/>
  <sheetViews>
    <sheetView workbookViewId="0">
      <selection activeCell="D15" sqref="D15"/>
    </sheetView>
  </sheetViews>
  <sheetFormatPr defaultRowHeight="15" x14ac:dyDescent="0.25"/>
  <cols>
    <col min="1" max="1" width="26.85546875" bestFit="1" customWidth="1"/>
    <col min="2" max="2" width="19.140625" bestFit="1" customWidth="1"/>
    <col min="3" max="3" width="12.5703125" bestFit="1" customWidth="1"/>
  </cols>
  <sheetData>
    <row r="2" spans="1:3" s="18" customFormat="1" x14ac:dyDescent="0.25">
      <c r="A2" s="8" t="s">
        <v>25</v>
      </c>
      <c r="B2" s="8" t="s">
        <v>26</v>
      </c>
      <c r="C2" s="8"/>
    </row>
    <row r="3" spans="1:3" x14ac:dyDescent="0.25">
      <c r="A3" s="4" t="s">
        <v>13</v>
      </c>
      <c r="B3" s="14">
        <v>12542084.189999999</v>
      </c>
      <c r="C3" s="4"/>
    </row>
    <row r="4" spans="1:3" x14ac:dyDescent="0.25">
      <c r="A4" s="4" t="s">
        <v>27</v>
      </c>
      <c r="B4" s="14">
        <v>2869361.27</v>
      </c>
      <c r="C4" s="4"/>
    </row>
    <row r="5" spans="1:3" x14ac:dyDescent="0.25">
      <c r="A5" s="4" t="s">
        <v>28</v>
      </c>
      <c r="B5" s="14">
        <v>379436.87</v>
      </c>
      <c r="C5" s="4"/>
    </row>
    <row r="6" spans="1:3" x14ac:dyDescent="0.25">
      <c r="A6" s="4" t="s">
        <v>29</v>
      </c>
      <c r="B6" s="14">
        <v>217989.79</v>
      </c>
      <c r="C6" s="4"/>
    </row>
    <row r="7" spans="1:3" x14ac:dyDescent="0.25">
      <c r="A7" s="4" t="s">
        <v>30</v>
      </c>
      <c r="B7" s="14">
        <v>0</v>
      </c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s="18" customFormat="1" x14ac:dyDescent="0.25">
      <c r="A13" s="8" t="s">
        <v>31</v>
      </c>
      <c r="B13" s="8" t="s">
        <v>24</v>
      </c>
      <c r="C13" s="8" t="s">
        <v>16</v>
      </c>
    </row>
    <row r="14" spans="1:3" x14ac:dyDescent="0.25">
      <c r="A14" s="4">
        <v>1</v>
      </c>
      <c r="B14" s="5">
        <v>93550</v>
      </c>
      <c r="C14" s="14">
        <v>166.07</v>
      </c>
    </row>
    <row r="15" spans="1:3" x14ac:dyDescent="0.25">
      <c r="A15" s="4">
        <v>2</v>
      </c>
      <c r="B15" s="5">
        <v>2527</v>
      </c>
      <c r="C15" s="14">
        <v>184.05</v>
      </c>
    </row>
    <row r="16" spans="1:3" x14ac:dyDescent="0.25">
      <c r="A16" s="4">
        <v>3</v>
      </c>
      <c r="B16" s="4">
        <v>18</v>
      </c>
      <c r="C16" s="14">
        <v>460.08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D906-2554-4288-BF34-9B1072EB3BAE}">
  <dimension ref="A1:B14"/>
  <sheetViews>
    <sheetView workbookViewId="0">
      <selection activeCell="A11" sqref="A11:XFD11"/>
    </sheetView>
  </sheetViews>
  <sheetFormatPr defaultRowHeight="15" x14ac:dyDescent="0.25"/>
  <cols>
    <col min="1" max="1" width="16.28515625" bestFit="1" customWidth="1"/>
    <col min="2" max="2" width="13.42578125" customWidth="1"/>
  </cols>
  <sheetData>
    <row r="1" spans="1:2" s="18" customFormat="1" x14ac:dyDescent="0.25">
      <c r="A1" s="8" t="s">
        <v>32</v>
      </c>
      <c r="B1" s="8" t="s">
        <v>33</v>
      </c>
    </row>
    <row r="2" spans="1:2" x14ac:dyDescent="0.25">
      <c r="A2" s="4"/>
      <c r="B2" s="4"/>
    </row>
    <row r="3" spans="1:2" x14ac:dyDescent="0.25">
      <c r="A3" s="4" t="s">
        <v>34</v>
      </c>
      <c r="B3" s="5">
        <v>88649</v>
      </c>
    </row>
    <row r="4" spans="1:2" x14ac:dyDescent="0.25">
      <c r="A4" s="4" t="s">
        <v>35</v>
      </c>
      <c r="B4" s="5">
        <v>1292</v>
      </c>
    </row>
    <row r="5" spans="1:2" x14ac:dyDescent="0.25">
      <c r="A5" s="4" t="s">
        <v>36</v>
      </c>
      <c r="B5" s="5">
        <v>6535</v>
      </c>
    </row>
    <row r="6" spans="1:2" x14ac:dyDescent="0.25">
      <c r="A6" s="4" t="s">
        <v>37</v>
      </c>
      <c r="B6" s="5">
        <v>2965</v>
      </c>
    </row>
    <row r="11" spans="1:2" s="18" customFormat="1" x14ac:dyDescent="0.25">
      <c r="A11" s="8" t="s">
        <v>0</v>
      </c>
      <c r="B11" s="8" t="s">
        <v>1</v>
      </c>
    </row>
    <row r="12" spans="1:2" x14ac:dyDescent="0.25">
      <c r="A12" s="4" t="s">
        <v>9</v>
      </c>
      <c r="B12" s="5">
        <v>96476</v>
      </c>
    </row>
    <row r="13" spans="1:2" x14ac:dyDescent="0.25">
      <c r="A13" s="4" t="s">
        <v>11</v>
      </c>
      <c r="B13" s="7">
        <v>6.7699999999999996E-2</v>
      </c>
    </row>
    <row r="14" spans="1:2" x14ac:dyDescent="0.25">
      <c r="A14" s="4"/>
      <c r="B1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C114-0805-4D15-B6EC-90201CF3560A}">
  <dimension ref="A1:C26"/>
  <sheetViews>
    <sheetView workbookViewId="0">
      <selection activeCell="A15" sqref="A15:XFD15"/>
    </sheetView>
  </sheetViews>
  <sheetFormatPr defaultRowHeight="15" x14ac:dyDescent="0.25"/>
  <cols>
    <col min="1" max="1" width="8.42578125" style="4" customWidth="1"/>
    <col min="2" max="2" width="35" bestFit="1" customWidth="1"/>
    <col min="3" max="3" width="10.7109375" bestFit="1" customWidth="1"/>
  </cols>
  <sheetData>
    <row r="1" spans="1:3" s="18" customFormat="1" x14ac:dyDescent="0.25">
      <c r="A1" s="8" t="s">
        <v>38</v>
      </c>
      <c r="B1" s="18" t="s">
        <v>39</v>
      </c>
      <c r="C1" s="18" t="s">
        <v>40</v>
      </c>
    </row>
    <row r="2" spans="1:3" x14ac:dyDescent="0.25">
      <c r="A2" s="4">
        <v>1</v>
      </c>
      <c r="B2" t="s">
        <v>41</v>
      </c>
      <c r="C2" s="2">
        <v>229472.63</v>
      </c>
    </row>
    <row r="3" spans="1:3" x14ac:dyDescent="0.25">
      <c r="A3" s="4">
        <v>2</v>
      </c>
      <c r="B3" t="s">
        <v>42</v>
      </c>
      <c r="C3" s="2">
        <v>222776.05</v>
      </c>
    </row>
    <row r="4" spans="1:3" x14ac:dyDescent="0.25">
      <c r="A4" s="4">
        <v>3</v>
      </c>
      <c r="B4" t="s">
        <v>43</v>
      </c>
      <c r="C4" s="2">
        <v>200472.92</v>
      </c>
    </row>
    <row r="5" spans="1:3" x14ac:dyDescent="0.25">
      <c r="A5" s="4">
        <v>4</v>
      </c>
      <c r="B5" t="s">
        <v>44</v>
      </c>
      <c r="C5" s="2">
        <v>194042.03</v>
      </c>
    </row>
    <row r="6" spans="1:3" x14ac:dyDescent="0.25">
      <c r="A6" s="4">
        <v>5</v>
      </c>
      <c r="B6" t="s">
        <v>45</v>
      </c>
      <c r="C6" s="2">
        <v>187923.89</v>
      </c>
    </row>
    <row r="7" spans="1:3" x14ac:dyDescent="0.25">
      <c r="A7" s="4">
        <v>6</v>
      </c>
      <c r="B7" t="s">
        <v>46</v>
      </c>
      <c r="C7" s="2">
        <v>176431.87</v>
      </c>
    </row>
    <row r="8" spans="1:3" x14ac:dyDescent="0.25">
      <c r="A8" s="4">
        <v>7</v>
      </c>
      <c r="B8" t="s">
        <v>47</v>
      </c>
      <c r="C8" s="2">
        <v>160236.57</v>
      </c>
    </row>
    <row r="9" spans="1:3" x14ac:dyDescent="0.25">
      <c r="A9" s="4">
        <v>8</v>
      </c>
      <c r="B9" t="s">
        <v>48</v>
      </c>
      <c r="C9" s="2">
        <v>141745.53</v>
      </c>
    </row>
    <row r="10" spans="1:3" x14ac:dyDescent="0.25">
      <c r="A10" s="4">
        <v>9</v>
      </c>
      <c r="B10" t="s">
        <v>49</v>
      </c>
      <c r="C10" s="2">
        <v>138968.54999999999</v>
      </c>
    </row>
    <row r="11" spans="1:3" x14ac:dyDescent="0.25">
      <c r="A11" s="4">
        <v>10</v>
      </c>
      <c r="B11" t="s">
        <v>50</v>
      </c>
      <c r="C11" s="2">
        <v>135171.70000000001</v>
      </c>
    </row>
    <row r="15" spans="1:3" s="18" customFormat="1" x14ac:dyDescent="0.25">
      <c r="A15" s="8" t="s">
        <v>51</v>
      </c>
      <c r="B15" s="8" t="s">
        <v>52</v>
      </c>
    </row>
    <row r="16" spans="1:3" x14ac:dyDescent="0.25">
      <c r="A16" s="4" t="s">
        <v>53</v>
      </c>
      <c r="B16" s="5">
        <v>1849</v>
      </c>
    </row>
    <row r="17" spans="1:2" x14ac:dyDescent="0.25">
      <c r="A17" s="4" t="s">
        <v>54</v>
      </c>
      <c r="B17" s="4">
        <v>349</v>
      </c>
    </row>
    <row r="18" spans="1:2" x14ac:dyDescent="0.25">
      <c r="A18" s="4" t="s">
        <v>55</v>
      </c>
      <c r="B18" s="4">
        <v>244</v>
      </c>
    </row>
    <row r="19" spans="1:2" x14ac:dyDescent="0.25">
      <c r="A19" s="4" t="s">
        <v>56</v>
      </c>
      <c r="B19" s="4">
        <v>190</v>
      </c>
    </row>
    <row r="20" spans="1:2" x14ac:dyDescent="0.25">
      <c r="A20" s="4" t="s">
        <v>57</v>
      </c>
      <c r="B20" s="4">
        <v>171</v>
      </c>
    </row>
    <row r="21" spans="1:2" x14ac:dyDescent="0.25">
      <c r="A21" s="4" t="s">
        <v>58</v>
      </c>
      <c r="B21" s="4">
        <v>129</v>
      </c>
    </row>
    <row r="22" spans="1:2" x14ac:dyDescent="0.25">
      <c r="A22" s="4" t="s">
        <v>59</v>
      </c>
      <c r="B22" s="4">
        <v>40</v>
      </c>
    </row>
    <row r="23" spans="1:2" x14ac:dyDescent="0.25">
      <c r="A23" s="4" t="s">
        <v>60</v>
      </c>
      <c r="B23" s="4">
        <v>30</v>
      </c>
    </row>
    <row r="24" spans="1:2" x14ac:dyDescent="0.25">
      <c r="A24" s="4" t="s">
        <v>61</v>
      </c>
      <c r="B24" s="4">
        <v>23</v>
      </c>
    </row>
    <row r="25" spans="1:2" x14ac:dyDescent="0.25">
      <c r="A25" s="4" t="s">
        <v>62</v>
      </c>
      <c r="B25" s="4">
        <v>19</v>
      </c>
    </row>
    <row r="26" spans="1:2" x14ac:dyDescent="0.25">
      <c r="B2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8B8A-E0FB-41FE-9528-AFB1E8A2FD5B}">
  <dimension ref="A1:C26"/>
  <sheetViews>
    <sheetView workbookViewId="0">
      <selection activeCell="B1" sqref="B1:C11"/>
    </sheetView>
  </sheetViews>
  <sheetFormatPr defaultRowHeight="15" x14ac:dyDescent="0.25"/>
  <cols>
    <col min="1" max="1" width="15.42578125" customWidth="1"/>
    <col min="2" max="2" width="27.5703125" bestFit="1" customWidth="1"/>
    <col min="3" max="3" width="13.5703125" bestFit="1" customWidth="1"/>
  </cols>
  <sheetData>
    <row r="1" spans="1:3" s="17" customFormat="1" ht="15.75" x14ac:dyDescent="0.25">
      <c r="A1" s="15" t="s">
        <v>38</v>
      </c>
      <c r="B1" s="15" t="s">
        <v>63</v>
      </c>
      <c r="C1" s="15" t="s">
        <v>64</v>
      </c>
    </row>
    <row r="2" spans="1:3" x14ac:dyDescent="0.25">
      <c r="A2" s="4">
        <v>1</v>
      </c>
      <c r="B2" s="4" t="s">
        <v>65</v>
      </c>
      <c r="C2" s="4">
        <v>874</v>
      </c>
    </row>
    <row r="3" spans="1:3" x14ac:dyDescent="0.25">
      <c r="A3" s="4">
        <v>2</v>
      </c>
      <c r="B3" s="4" t="s">
        <v>66</v>
      </c>
      <c r="C3" s="4">
        <v>614</v>
      </c>
    </row>
    <row r="4" spans="1:3" x14ac:dyDescent="0.25">
      <c r="A4" s="4">
        <v>3</v>
      </c>
      <c r="B4" s="4" t="s">
        <v>67</v>
      </c>
      <c r="C4" s="4">
        <v>597</v>
      </c>
    </row>
    <row r="5" spans="1:3" x14ac:dyDescent="0.25">
      <c r="A5" s="4">
        <v>4</v>
      </c>
      <c r="B5" s="4" t="s">
        <v>68</v>
      </c>
      <c r="C5" s="4">
        <v>519</v>
      </c>
    </row>
    <row r="6" spans="1:3" x14ac:dyDescent="0.25">
      <c r="A6" s="4">
        <v>5</v>
      </c>
      <c r="B6" s="4" t="s">
        <v>69</v>
      </c>
      <c r="C6" s="4">
        <v>417</v>
      </c>
    </row>
    <row r="7" spans="1:3" x14ac:dyDescent="0.25">
      <c r="A7" s="4">
        <v>6</v>
      </c>
      <c r="B7" s="4" t="s">
        <v>70</v>
      </c>
      <c r="C7" s="4">
        <v>360</v>
      </c>
    </row>
    <row r="8" spans="1:3" x14ac:dyDescent="0.25">
      <c r="A8" s="4">
        <v>7</v>
      </c>
      <c r="B8" s="4" t="s">
        <v>71</v>
      </c>
      <c r="C8" s="4">
        <v>285</v>
      </c>
    </row>
    <row r="9" spans="1:3" x14ac:dyDescent="0.25">
      <c r="A9" s="4">
        <v>8</v>
      </c>
      <c r="B9" s="4" t="s">
        <v>72</v>
      </c>
      <c r="C9" s="4">
        <v>230</v>
      </c>
    </row>
    <row r="10" spans="1:3" x14ac:dyDescent="0.25">
      <c r="A10" s="4">
        <v>9</v>
      </c>
      <c r="B10" s="4" t="s">
        <v>73</v>
      </c>
      <c r="C10" s="4">
        <v>201</v>
      </c>
    </row>
    <row r="11" spans="1:3" x14ac:dyDescent="0.25">
      <c r="A11" s="4">
        <v>10</v>
      </c>
      <c r="B11" s="4" t="s">
        <v>74</v>
      </c>
      <c r="C11" s="4">
        <v>193</v>
      </c>
    </row>
    <row r="16" spans="1:3" s="16" customFormat="1" ht="15.75" x14ac:dyDescent="0.25">
      <c r="A16" s="15" t="s">
        <v>38</v>
      </c>
      <c r="B16" s="15" t="s">
        <v>63</v>
      </c>
      <c r="C16" s="15" t="s">
        <v>75</v>
      </c>
    </row>
    <row r="17" spans="1:3" x14ac:dyDescent="0.25">
      <c r="A17" s="4">
        <v>1</v>
      </c>
      <c r="B17" s="4" t="s">
        <v>76</v>
      </c>
      <c r="C17" s="7">
        <v>0.18060000000000001</v>
      </c>
    </row>
    <row r="18" spans="1:3" x14ac:dyDescent="0.25">
      <c r="A18" s="4">
        <v>2</v>
      </c>
      <c r="B18" s="4" t="s">
        <v>72</v>
      </c>
      <c r="C18" s="7">
        <v>0.1234</v>
      </c>
    </row>
    <row r="19" spans="1:3" x14ac:dyDescent="0.25">
      <c r="A19" s="4">
        <v>3</v>
      </c>
      <c r="B19" s="4" t="s">
        <v>77</v>
      </c>
      <c r="C19" s="7">
        <v>0.1071</v>
      </c>
    </row>
    <row r="20" spans="1:3" x14ac:dyDescent="0.25">
      <c r="A20" s="4">
        <v>4</v>
      </c>
      <c r="B20" s="4" t="s">
        <v>78</v>
      </c>
      <c r="C20" s="7">
        <v>9.4299999999999995E-2</v>
      </c>
    </row>
    <row r="21" spans="1:3" x14ac:dyDescent="0.25">
      <c r="A21" s="4">
        <v>5</v>
      </c>
      <c r="B21" s="4" t="s">
        <v>65</v>
      </c>
      <c r="C21" s="7">
        <v>9.2799999999999994E-2</v>
      </c>
    </row>
    <row r="22" spans="1:3" x14ac:dyDescent="0.25">
      <c r="A22" s="4">
        <v>6</v>
      </c>
      <c r="B22" s="4" t="s">
        <v>67</v>
      </c>
      <c r="C22" s="7">
        <v>9.2600000000000002E-2</v>
      </c>
    </row>
    <row r="23" spans="1:3" x14ac:dyDescent="0.25">
      <c r="A23" s="4">
        <v>7</v>
      </c>
      <c r="B23" s="4" t="s">
        <v>79</v>
      </c>
      <c r="C23" s="7">
        <v>8.77E-2</v>
      </c>
    </row>
    <row r="24" spans="1:3" x14ac:dyDescent="0.25">
      <c r="A24" s="4">
        <v>8</v>
      </c>
      <c r="B24" s="4" t="s">
        <v>80</v>
      </c>
      <c r="C24" s="7">
        <v>8.7499999999999994E-2</v>
      </c>
    </row>
    <row r="25" spans="1:3" x14ac:dyDescent="0.25">
      <c r="A25" s="4">
        <v>9</v>
      </c>
      <c r="B25" s="4" t="s">
        <v>81</v>
      </c>
      <c r="C25" s="7">
        <v>8.6999999999999994E-2</v>
      </c>
    </row>
    <row r="26" spans="1:3" x14ac:dyDescent="0.25">
      <c r="A26" s="4">
        <v>10</v>
      </c>
      <c r="B26" s="4" t="s">
        <v>82</v>
      </c>
      <c r="C26" s="7">
        <v>8.0600000000000005E-2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394D-81E7-4E63-9DA1-F63415BD80C7}">
  <dimension ref="A1:Q16"/>
  <sheetViews>
    <sheetView tabSelected="1" workbookViewId="0">
      <selection activeCell="G8" sqref="G8"/>
    </sheetView>
  </sheetViews>
  <sheetFormatPr defaultRowHeight="15" x14ac:dyDescent="0.25"/>
  <sheetData>
    <row r="1" spans="1:17" s="18" customFormat="1" x14ac:dyDescent="0.25">
      <c r="A1" s="18" t="s">
        <v>83</v>
      </c>
    </row>
    <row r="16" spans="1:17" x14ac:dyDescent="0.25">
      <c r="Q16" cm="1">
        <f t="array" aca="1" ref="Q16" ca="1">Q16:Q18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 summary</vt:lpstr>
      <vt:lpstr>Customer Analysis</vt:lpstr>
      <vt:lpstr>Payment Analysis</vt:lpstr>
      <vt:lpstr>Delivery Analysis</vt:lpstr>
      <vt:lpstr>Seller Analysis</vt:lpstr>
      <vt:lpstr>Category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jadhav</dc:creator>
  <cp:lastModifiedBy>sanika jadhav</cp:lastModifiedBy>
  <dcterms:created xsi:type="dcterms:W3CDTF">2026-09-04T09:32:09Z</dcterms:created>
  <dcterms:modified xsi:type="dcterms:W3CDTF">2026-09-04T14:26:32Z</dcterms:modified>
</cp:coreProperties>
</file>